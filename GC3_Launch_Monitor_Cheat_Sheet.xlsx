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viasatinc-my.sharepoint.com/personal/zachariah_freitas_viasat_com/Documents/Documents/Claude/Golf_Analysis/"/>
    </mc:Choice>
  </mc:AlternateContent>
  <xr:revisionPtr revIDLastSave="2" documentId="11_96C8DDE1525B80CEEF5FA0F65F5DCE3AE74D7D24" xr6:coauthVersionLast="47" xr6:coauthVersionMax="47" xr10:uidLastSave="{808EF6B7-0498-4E1B-84A0-AECE16491AE7}"/>
  <bookViews>
    <workbookView xWindow="30612" yWindow="-6960" windowWidth="17496" windowHeight="30216" xr2:uid="{00000000-000D-0000-FFFF-FFFF00000000}"/>
  </bookViews>
  <sheets>
    <sheet name="GC3 Cheat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1" l="1"/>
</calcChain>
</file>

<file path=xl/sharedStrings.xml><?xml version="1.0" encoding="utf-8"?>
<sst xmlns="http://schemas.openxmlformats.org/spreadsheetml/2006/main" count="535" uniqueCount="317">
  <si>
    <t>GC3 LAUNCH MONITOR CHEAT SHEET - Optimized for Your Swing</t>
  </si>
  <si>
    <t>Target Values and Acceptable Ranges for Maximum Carry Distance and Green-Holding Descent Angles</t>
  </si>
  <si>
    <t>Club</t>
  </si>
  <si>
    <t>Club Speed</t>
  </si>
  <si>
    <t>Carry Target</t>
  </si>
  <si>
    <t>Carry Range</t>
  </si>
  <si>
    <t>Total Target</t>
  </si>
  <si>
    <t>Total Range</t>
  </si>
  <si>
    <t>Peak Height Target</t>
  </si>
  <si>
    <t>Peak Height Range</t>
  </si>
  <si>
    <t>Offline Target</t>
  </si>
  <si>
    <t>Offline Range</t>
  </si>
  <si>
    <t>Curve Target</t>
  </si>
  <si>
    <t>Curve Range</t>
  </si>
  <si>
    <t>Descent Angle Target</t>
  </si>
  <si>
    <t>Descent Angle Range</t>
  </si>
  <si>
    <t>Hang Time Target</t>
  </si>
  <si>
    <t>Hang Time Range</t>
  </si>
  <si>
    <t>Ball Speed Target</t>
  </si>
  <si>
    <t>Ball Speed Range</t>
  </si>
  <si>
    <t>Launch Angle Target</t>
  </si>
  <si>
    <t>Launch Angle Range</t>
  </si>
  <si>
    <t>Launch Direction Target</t>
  </si>
  <si>
    <t>Launch Direction Range</t>
  </si>
  <si>
    <t>Side Spin Target</t>
  </si>
  <si>
    <t>Side Spin Range</t>
  </si>
  <si>
    <t>Back Spin Target</t>
  </si>
  <si>
    <t>Back Spin Range</t>
  </si>
  <si>
    <t>Total Spin Target</t>
  </si>
  <si>
    <t>Total Spin Range</t>
  </si>
  <si>
    <t>Spin Axis Tilt Target</t>
  </si>
  <si>
    <t>Spin Axis Tilt Range</t>
  </si>
  <si>
    <t>Smash Factor Target</t>
  </si>
  <si>
    <t>Smash Factor Range</t>
  </si>
  <si>
    <t>Angle of Attack Target</t>
  </si>
  <si>
    <t>Angle of Attack Range</t>
  </si>
  <si>
    <t>Club Path Target</t>
  </si>
  <si>
    <t>Club Path Range</t>
  </si>
  <si>
    <t>Dr (10.5°)</t>
  </si>
  <si>
    <t>84</t>
  </si>
  <si>
    <t>280</t>
  </si>
  <si>
    <t>268-278</t>
  </si>
  <si>
    <t>308</t>
  </si>
  <si>
    <t>295-306</t>
  </si>
  <si>
    <t>27</t>
  </si>
  <si>
    <t>21-35</t>
  </si>
  <si>
    <t>0</t>
  </si>
  <si>
    <t>-10 to 10</t>
  </si>
  <si>
    <t>-15 to 15</t>
  </si>
  <si>
    <t>39.7</t>
  </si>
  <si>
    <t>37.8-42.4</t>
  </si>
  <si>
    <t>2.6</t>
  </si>
  <si>
    <t>2.3-3.0</t>
  </si>
  <si>
    <t>123.5</t>
  </si>
  <si>
    <t>121.8-126.0</t>
  </si>
  <si>
    <t>13.5</t>
  </si>
  <si>
    <t>12.0-15.0</t>
  </si>
  <si>
    <t>0.0</t>
  </si>
  <si>
    <t>-3.0 to 3.0</t>
  </si>
  <si>
    <t>-300 to 300</t>
  </si>
  <si>
    <t>2600</t>
  </si>
  <si>
    <t>2300-2900</t>
  </si>
  <si>
    <t>-5.0 to 5.0</t>
  </si>
  <si>
    <t>1.47</t>
  </si>
  <si>
    <t>1.45-1.50</t>
  </si>
  <si>
    <t>2.5</t>
  </si>
  <si>
    <t>1.0 to 4.0</t>
  </si>
  <si>
    <t>-2.0 to 2.0</t>
  </si>
  <si>
    <t>3w (15.0°)</t>
  </si>
  <si>
    <t>82</t>
  </si>
  <si>
    <t>237</t>
  </si>
  <si>
    <t>220-249</t>
  </si>
  <si>
    <t>260</t>
  </si>
  <si>
    <t>242-274</t>
  </si>
  <si>
    <t>22</t>
  </si>
  <si>
    <t>17-28</t>
  </si>
  <si>
    <t>39.2</t>
  </si>
  <si>
    <t>37.6-41.3</t>
  </si>
  <si>
    <t>2.3</t>
  </si>
  <si>
    <t>2.0-2.7</t>
  </si>
  <si>
    <t>116.4</t>
  </si>
  <si>
    <t>114.8-118.9</t>
  </si>
  <si>
    <t>12.8</t>
  </si>
  <si>
    <t>11.2-14.2</t>
  </si>
  <si>
    <t>3800</t>
  </si>
  <si>
    <t>3400-4200</t>
  </si>
  <si>
    <t>1.42</t>
  </si>
  <si>
    <t>1.40-1.45</t>
  </si>
  <si>
    <t>-1.0 to 1.0</t>
  </si>
  <si>
    <t>3h (19.0°)</t>
  </si>
  <si>
    <t>214</t>
  </si>
  <si>
    <t>206-225</t>
  </si>
  <si>
    <t>236</t>
  </si>
  <si>
    <t>227-248</t>
  </si>
  <si>
    <t>20-35</t>
  </si>
  <si>
    <t>42.4</t>
  </si>
  <si>
    <t>39.5-45.4</t>
  </si>
  <si>
    <t>2.2-3.0</t>
  </si>
  <si>
    <t>114.8</t>
  </si>
  <si>
    <t>113.2-116.4</t>
  </si>
  <si>
    <t>14.2</t>
  </si>
  <si>
    <t>12.3-16.1</t>
  </si>
  <si>
    <t>4500</t>
  </si>
  <si>
    <t>4000-5000</t>
  </si>
  <si>
    <t>1.40</t>
  </si>
  <si>
    <t>1.38-1.42</t>
  </si>
  <si>
    <t>-1.5</t>
  </si>
  <si>
    <t>-2.5 to -0.5</t>
  </si>
  <si>
    <t>4h (22.0°)</t>
  </si>
  <si>
    <t>79</t>
  </si>
  <si>
    <t>197</t>
  </si>
  <si>
    <t>199-202</t>
  </si>
  <si>
    <t>217</t>
  </si>
  <si>
    <t>219-222</t>
  </si>
  <si>
    <t>33</t>
  </si>
  <si>
    <t>24-43</t>
  </si>
  <si>
    <t>46.7</t>
  </si>
  <si>
    <t>42.2-51.3</t>
  </si>
  <si>
    <t>2.9</t>
  </si>
  <si>
    <t>2.5-3.3</t>
  </si>
  <si>
    <t>110.6</t>
  </si>
  <si>
    <t>109.0-112.2</t>
  </si>
  <si>
    <t>16.5</t>
  </si>
  <si>
    <t>14.3-18.7</t>
  </si>
  <si>
    <t>5000</t>
  </si>
  <si>
    <t>4500-5500</t>
  </si>
  <si>
    <t>5i (25.5°)</t>
  </si>
  <si>
    <t>192</t>
  </si>
  <si>
    <t>194-189</t>
  </si>
  <si>
    <t>211</t>
  </si>
  <si>
    <t>214-208</t>
  </si>
  <si>
    <t>32</t>
  </si>
  <si>
    <t>22-43</t>
  </si>
  <si>
    <t>46.5</t>
  </si>
  <si>
    <t>41.4-52.5</t>
  </si>
  <si>
    <t>2.8</t>
  </si>
  <si>
    <t>2.3-3.3</t>
  </si>
  <si>
    <t>107.4</t>
  </si>
  <si>
    <t>105.9-109.0</t>
  </si>
  <si>
    <t>16.6</t>
  </si>
  <si>
    <t>14.0-19.1</t>
  </si>
  <si>
    <t>5550</t>
  </si>
  <si>
    <t>5050-6050</t>
  </si>
  <si>
    <t>1.36</t>
  </si>
  <si>
    <t>1.34-1.38</t>
  </si>
  <si>
    <t>-3.5</t>
  </si>
  <si>
    <t>-4.5 to -2.5</t>
  </si>
  <si>
    <t>6i (29.0°)</t>
  </si>
  <si>
    <t>78</t>
  </si>
  <si>
    <t>185</t>
  </si>
  <si>
    <t>188-182</t>
  </si>
  <si>
    <t>204</t>
  </si>
  <si>
    <t>207-200</t>
  </si>
  <si>
    <t>40</t>
  </si>
  <si>
    <t>28-53</t>
  </si>
  <si>
    <t>51.4</t>
  </si>
  <si>
    <t>44.9-59.3</t>
  </si>
  <si>
    <t>3.1</t>
  </si>
  <si>
    <t>2.6-3.6</t>
  </si>
  <si>
    <t>106.1</t>
  </si>
  <si>
    <t>104.5-107.6</t>
  </si>
  <si>
    <t>18.9</t>
  </si>
  <si>
    <t>16.0-21.8</t>
  </si>
  <si>
    <t>5900</t>
  </si>
  <si>
    <t>5400-6400</t>
  </si>
  <si>
    <t>7i (33.0°)</t>
  </si>
  <si>
    <t>77</t>
  </si>
  <si>
    <t>175</t>
  </si>
  <si>
    <t>179-172</t>
  </si>
  <si>
    <t>193</t>
  </si>
  <si>
    <t>197-189</t>
  </si>
  <si>
    <t>48</t>
  </si>
  <si>
    <t>34-65</t>
  </si>
  <si>
    <t>57.6</t>
  </si>
  <si>
    <t>49.1-60.0</t>
  </si>
  <si>
    <t>3.4</t>
  </si>
  <si>
    <t>2.9-4.0</t>
  </si>
  <si>
    <t>103.2</t>
  </si>
  <si>
    <t>101.6-104.7</t>
  </si>
  <si>
    <t>21.4</t>
  </si>
  <si>
    <t>18.2-24.8</t>
  </si>
  <si>
    <t>6860</t>
  </si>
  <si>
    <t>6360-7360</t>
  </si>
  <si>
    <t>1.34</t>
  </si>
  <si>
    <t>1.32-1.36</t>
  </si>
  <si>
    <t>8i (37.0°)</t>
  </si>
  <si>
    <t>76</t>
  </si>
  <si>
    <t>168</t>
  </si>
  <si>
    <t>173-164</t>
  </si>
  <si>
    <t>190-180</t>
  </si>
  <si>
    <t>59</t>
  </si>
  <si>
    <t>42-79</t>
  </si>
  <si>
    <t>60.0</t>
  </si>
  <si>
    <t>54.2-60.0</t>
  </si>
  <si>
    <t>3.8</t>
  </si>
  <si>
    <t>3.2-4.4</t>
  </si>
  <si>
    <t>101.8</t>
  </si>
  <si>
    <t>100.3-103.4</t>
  </si>
  <si>
    <t>24.1</t>
  </si>
  <si>
    <t>20.4-27.8</t>
  </si>
  <si>
    <t>7340</t>
  </si>
  <si>
    <t>6840-7840</t>
  </si>
  <si>
    <t>9i (41.0°)</t>
  </si>
  <si>
    <t>74</t>
  </si>
  <si>
    <t>157</t>
  </si>
  <si>
    <t>162-152</t>
  </si>
  <si>
    <t>173</t>
  </si>
  <si>
    <t>178-167</t>
  </si>
  <si>
    <t>66</t>
  </si>
  <si>
    <t>47-88</t>
  </si>
  <si>
    <t>59.0-60.0</t>
  </si>
  <si>
    <t>4.0</t>
  </si>
  <si>
    <t>3.4-4.6</t>
  </si>
  <si>
    <t>97.7</t>
  </si>
  <si>
    <t>96.2-99.2</t>
  </si>
  <si>
    <t>26.7</t>
  </si>
  <si>
    <t>22.6-30.8</t>
  </si>
  <si>
    <t>8100</t>
  </si>
  <si>
    <t>7600-8600</t>
  </si>
  <si>
    <t>1.32</t>
  </si>
  <si>
    <t>1.30-1.34</t>
  </si>
  <si>
    <t>-4.0</t>
  </si>
  <si>
    <t>-5.0 to -3.0</t>
  </si>
  <si>
    <t>PW (46.0°)</t>
  </si>
  <si>
    <t>72</t>
  </si>
  <si>
    <t>148</t>
  </si>
  <si>
    <t>153-141</t>
  </si>
  <si>
    <t>162</t>
  </si>
  <si>
    <t>169-156</t>
  </si>
  <si>
    <t>56-103</t>
  </si>
  <si>
    <t>60.0-60.0</t>
  </si>
  <si>
    <t>4.3</t>
  </si>
  <si>
    <t>3.6-5.0</t>
  </si>
  <si>
    <t>95.0</t>
  </si>
  <si>
    <t>93.6-96.5</t>
  </si>
  <si>
    <t>29.9</t>
  </si>
  <si>
    <t>25.3-34.5</t>
  </si>
  <si>
    <t>8600</t>
  </si>
  <si>
    <t>8100-9100</t>
  </si>
  <si>
    <t>GW (52.0°)</t>
  </si>
  <si>
    <t>65</t>
  </si>
  <si>
    <t>124</t>
  </si>
  <si>
    <t>129-119</t>
  </si>
  <si>
    <t>136</t>
  </si>
  <si>
    <t>142-131</t>
  </si>
  <si>
    <t>75</t>
  </si>
  <si>
    <t>53-99</t>
  </si>
  <si>
    <t>4.2</t>
  </si>
  <si>
    <t>3.5-4.9</t>
  </si>
  <si>
    <t>83.2</t>
  </si>
  <si>
    <t>81.2-85.2</t>
  </si>
  <si>
    <t>33.8</t>
  </si>
  <si>
    <t>28.6-39.0</t>
  </si>
  <si>
    <t>9160</t>
  </si>
  <si>
    <t>8660-9660</t>
  </si>
  <si>
    <t>1.28</t>
  </si>
  <si>
    <t>1.25-1.31</t>
  </si>
  <si>
    <t>-4.5</t>
  </si>
  <si>
    <t>-5.5 to -3.5</t>
  </si>
  <si>
    <t>SW (56.0°)</t>
  </si>
  <si>
    <t>120</t>
  </si>
  <si>
    <t>126-118</t>
  </si>
  <si>
    <t>132</t>
  </si>
  <si>
    <t>138-129</t>
  </si>
  <si>
    <t>85</t>
  </si>
  <si>
    <t>61-113</t>
  </si>
  <si>
    <t>4.5</t>
  </si>
  <si>
    <t>3.8-5.2</t>
  </si>
  <si>
    <t>36.4</t>
  </si>
  <si>
    <t>30.8-42.0</t>
  </si>
  <si>
    <t>9480</t>
  </si>
  <si>
    <t>8980-9980</t>
  </si>
  <si>
    <t>LW (60.0°)</t>
  </si>
  <si>
    <t>64</t>
  </si>
  <si>
    <t>114</t>
  </si>
  <si>
    <t>121-116</t>
  </si>
  <si>
    <t>126</t>
  </si>
  <si>
    <t>133-127</t>
  </si>
  <si>
    <t>93</t>
  </si>
  <si>
    <t>67-122</t>
  </si>
  <si>
    <t>4.7</t>
  </si>
  <si>
    <t>4.0-5.4</t>
  </si>
  <si>
    <t>81.9</t>
  </si>
  <si>
    <t>80.0-83.8</t>
  </si>
  <si>
    <t>39.0</t>
  </si>
  <si>
    <t>33.0-45.0</t>
  </si>
  <si>
    <t>9800</t>
  </si>
  <si>
    <t>9300-10300</t>
  </si>
  <si>
    <t>PRO TIPS - What to Look For on GC3</t>
  </si>
  <si>
    <t>DRIVER &amp; WOODS: If spin is too high (&gt;2900 rpm for driver), check if you're hitting down on the ball (negative AoA). Target positive AoA (+2 to +4°) for driver. If ball speed is low despite good contact, check smash factor - should be 1.45+ for driver. Low launch + high spin = popup trajectory, adjust tee height and AoA.</t>
  </si>
  <si>
    <t>HYBRIDS &amp; LONG IRONS: If carry distance is short despite good ball speed, check descent angle. Should be 40-45° minimum. Too low = not enough spin or launch. If you're hitting it thin (low launch, low spin), focus on contact position - strike just after low point of swing. Club path should be neutral (±2°) for straight flight.</t>
  </si>
  <si>
    <t>MID IRONS (6-8): Watch for 'launch/spin mismatch': if launch is good but carry is short, spin is likely too high. Target 6500-7500 rpm for modern lofts. Descent angle should be 45-50° for green-holding power. If smash factor drops below 1.32, focus on center contact. Side spin over 300 rpm = check face angle at impact.</t>
  </si>
  <si>
    <t>SHORT IRONS &amp; PW: These should produce peak heights of 90-110 ft and descent angles of 48-52°. If you're ballooning shots (too high, not enough distance), reduce spin by moving ball position slightly back or checking dynamic loft. Target spin: 8000-9000 rpm for PW.</t>
  </si>
  <si>
    <t>WEDGES (50-60°): Descent angle is KING here - need 50°+ to hold greens. If angle is too shallow, increase spin (9000-10000+ rpm) or launch angle. Watch spin axis tilt - over 5° means face is open/closed at impact. For full swings, smash factor should still be 1.25-1.31. Low smash = poor contact or excessive manipulation.</t>
  </si>
  <si>
    <t>SHOT DIAGNOSIS: Offline + Curve tell the story: Push (right start, straight) = path right, face square to path. Draw (right start, curves left) = path right, face left of path. Pull (left start, straight) = path left, face square to path. Fade (left start, curves right) = path left, face right of path. Use Launch Direction + Curve to diagnose ball flight laws.</t>
  </si>
  <si>
    <t>GAPPING ANALYSIS</t>
  </si>
  <si>
    <t>Dr (10.5°) to 3w (15.0°): 43 yards - WARNING: GAP TOO LARGE - Consider adding a club between these</t>
  </si>
  <si>
    <t>3w (15.0°) to 3h (19.0°): 23 yards - WARNING: GAP TOO LARGE - Consider adding a club between these</t>
  </si>
  <si>
    <t>3h (19.0°) to 4h (22.0°): 17 yards - GOOD: Proper spacing</t>
  </si>
  <si>
    <t>4h (22.0°) to 5i (25.5°): 5 yards - WARNING: TOO CLOSE - Consider removing one club or adjusting technique</t>
  </si>
  <si>
    <t>5i (25.5°) to 6i (29.0°): 7 yards - WARNING: TOO CLOSE - Consider removing one club or adjusting technique</t>
  </si>
  <si>
    <t>6i (29.0°) to 7i (33.0°): 10 yards - GOOD: Proper spacing</t>
  </si>
  <si>
    <t>7i (33.0°) to 8i (37.0°): 7 yards - WARNING: TOO CLOSE - Consider removing one club or adjusting technique</t>
  </si>
  <si>
    <t>8i (37.0°) to 9i (41.0°): 11 yards - GOOD: Proper spacing</t>
  </si>
  <si>
    <t>9i (41.0°) to PW (46.0°): 9 yards - WARNING: TIGHT - Might overlap in real conditions</t>
  </si>
  <si>
    <t>PW (46.0°) to GW (52.0°): 24 yards - WARNING: GAP TOO LARGE - Consider adding a club between these</t>
  </si>
  <si>
    <t>GW (52.0°) to SW (56.0°): 4 yards - WARNING: TOO CLOSE - Consider removing one club or adjusting technique</t>
  </si>
  <si>
    <t>SW (56.0°) to LW (60.0°): 6 yards - WARNING: TOO CLOSE - Consider removing one club or adjusting technique</t>
  </si>
  <si>
    <t>NOTES</t>
  </si>
  <si>
    <t>• All target values are optimized for YOUR specific swing speeds and lofts</t>
  </si>
  <si>
    <t>• Carry distances assume standard conditions (sea level, 70°F, no wind)</t>
  </si>
  <si>
    <t>• Descent angles 40°+ ensure balls land softly and hold greens</t>
  </si>
  <si>
    <t>• Green highlight = Target value | Yellow highlight = Acceptable range</t>
  </si>
  <si>
    <t>• Focus on TRENDS across multiple shots, not single shot perfection</t>
  </si>
  <si>
    <t>• Ball speed and smash factor are your 'contact quality' metrics</t>
  </si>
  <si>
    <t>• Launch angle + spin rate determine trajectory shape and carry</t>
  </si>
  <si>
    <t>• Club path + face angle at impact determine start line and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</si>
</sst>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366092"/>
      <name val="Calibri"/>
      <family val="2"/>
    </font>
    <font>
      <i/>
      <sz val="10"/>
      <name val="Calibri"/>
      <family val="2"/>
    </font>
    <font>
      <b/>
      <sz val="11"/>
      <color rgb="FFFFFFFF"/>
      <name val="Calibri"/>
      <family val="2"/>
    </font>
    <font>
      <b/>
      <sz val="12"/>
      <color rgb="FF366092"/>
      <name val="Calibri"/>
      <family val="2"/>
    </font>
    <font>
      <sz val="10"/>
      <name val="Calibri"/>
      <family val="2"/>
    </font>
    <font>
      <b/>
      <sz val="11"/>
      <color rgb="FF366092"/>
      <name val="Calibri"/>
      <family val="2"/>
    </font>
    <font>
      <sz val="9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0" xfId="0"/>
    <xf numFmtId="0" fontId="7" fillId="0" borderId="0" xfId="0" applyFont="1" applyAlignment="1">
      <alignment horizontal="left" vertical="center"/>
    </xf>
    <xf numFmtId="0" fontId="5" fillId="0" borderId="0" xfId="0" applyFont="1" applyAlignment="1">
      <alignment vertical="top" wrapText="1"/>
    </xf>
    <xf numFmtId="0" fontId="2" fillId="0" borderId="0" xfId="0" applyFont="1" applyAlignment="1">
      <alignment horizontal="center" vertical="center"/>
    </xf>
    <xf numFmtId="0" fontId="4" fillId="5" borderId="0" xfId="0" applyFont="1" applyFill="1"/>
    <xf numFmtId="0" fontId="6" fillId="0" borderId="0" xfId="0" applyFon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8"/>
  <sheetViews>
    <sheetView tabSelected="1" workbookViewId="0">
      <selection activeCell="D59" sqref="D59"/>
    </sheetView>
  </sheetViews>
  <sheetFormatPr defaultRowHeight="14.4" x14ac:dyDescent="0.3"/>
  <cols>
    <col min="1" max="36" width="18" customWidth="1"/>
  </cols>
  <sheetData>
    <row r="1" spans="1:36" ht="18" x14ac:dyDescent="0.3">
      <c r="A1" s="12" t="s">
        <v>0</v>
      </c>
      <c r="B1" s="6"/>
      <c r="C1" s="6"/>
      <c r="D1" s="6"/>
      <c r="E1" s="6"/>
      <c r="F1" s="6"/>
    </row>
    <row r="2" spans="1:36" x14ac:dyDescent="0.3">
      <c r="A2" s="9" t="s">
        <v>1</v>
      </c>
      <c r="B2" s="6"/>
      <c r="C2" s="6"/>
      <c r="D2" s="6"/>
      <c r="E2" s="6"/>
      <c r="F2" s="6"/>
    </row>
    <row r="4" spans="1:3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</row>
    <row r="5" spans="1:36" x14ac:dyDescent="0.3">
      <c r="A5" s="2" t="s">
        <v>38</v>
      </c>
      <c r="B5" s="2" t="s">
        <v>39</v>
      </c>
      <c r="C5" s="3" t="s">
        <v>40</v>
      </c>
      <c r="D5" s="4" t="s">
        <v>41</v>
      </c>
      <c r="E5" s="3" t="s">
        <v>42</v>
      </c>
      <c r="F5" s="4" t="s">
        <v>43</v>
      </c>
      <c r="G5" s="3" t="s">
        <v>44</v>
      </c>
      <c r="H5" s="4" t="s">
        <v>45</v>
      </c>
      <c r="I5" s="3" t="s">
        <v>46</v>
      </c>
      <c r="J5" s="4" t="s">
        <v>47</v>
      </c>
      <c r="K5" s="3" t="s">
        <v>46</v>
      </c>
      <c r="L5" s="4" t="s">
        <v>48</v>
      </c>
      <c r="M5" s="3" t="s">
        <v>49</v>
      </c>
      <c r="N5" s="4" t="s">
        <v>50</v>
      </c>
      <c r="O5" s="3" t="s">
        <v>51</v>
      </c>
      <c r="P5" s="4" t="s">
        <v>52</v>
      </c>
      <c r="Q5" s="3" t="s">
        <v>53</v>
      </c>
      <c r="R5" s="4" t="s">
        <v>54</v>
      </c>
      <c r="S5" s="3" t="s">
        <v>55</v>
      </c>
      <c r="T5" s="4" t="s">
        <v>56</v>
      </c>
      <c r="U5" s="3" t="s">
        <v>57</v>
      </c>
      <c r="V5" s="4" t="s">
        <v>58</v>
      </c>
      <c r="W5" s="3" t="s">
        <v>46</v>
      </c>
      <c r="X5" s="4" t="s">
        <v>59</v>
      </c>
      <c r="Y5" s="3" t="s">
        <v>60</v>
      </c>
      <c r="Z5" s="4" t="s">
        <v>61</v>
      </c>
      <c r="AA5" s="3" t="s">
        <v>60</v>
      </c>
      <c r="AB5" s="4" t="s">
        <v>61</v>
      </c>
      <c r="AC5" s="3" t="s">
        <v>57</v>
      </c>
      <c r="AD5" s="4" t="s">
        <v>62</v>
      </c>
      <c r="AE5" s="3" t="s">
        <v>63</v>
      </c>
      <c r="AF5" s="4" t="s">
        <v>64</v>
      </c>
      <c r="AG5" s="3" t="s">
        <v>65</v>
      </c>
      <c r="AH5" s="4" t="s">
        <v>66</v>
      </c>
      <c r="AI5" s="3" t="s">
        <v>57</v>
      </c>
      <c r="AJ5" s="4" t="s">
        <v>67</v>
      </c>
    </row>
    <row r="6" spans="1:36" x14ac:dyDescent="0.3">
      <c r="A6" s="2" t="s">
        <v>68</v>
      </c>
      <c r="B6" s="2" t="s">
        <v>69</v>
      </c>
      <c r="C6" s="3" t="s">
        <v>70</v>
      </c>
      <c r="D6" s="4" t="s">
        <v>71</v>
      </c>
      <c r="E6" s="3" t="s">
        <v>72</v>
      </c>
      <c r="F6" s="4" t="s">
        <v>73</v>
      </c>
      <c r="G6" s="3" t="s">
        <v>74</v>
      </c>
      <c r="H6" s="4" t="s">
        <v>75</v>
      </c>
      <c r="I6" s="3" t="s">
        <v>46</v>
      </c>
      <c r="J6" s="4" t="s">
        <v>47</v>
      </c>
      <c r="K6" s="3" t="s">
        <v>46</v>
      </c>
      <c r="L6" s="4" t="s">
        <v>48</v>
      </c>
      <c r="M6" s="3" t="s">
        <v>76</v>
      </c>
      <c r="N6" s="4" t="s">
        <v>77</v>
      </c>
      <c r="O6" s="3" t="s">
        <v>78</v>
      </c>
      <c r="P6" s="4" t="s">
        <v>79</v>
      </c>
      <c r="Q6" s="3" t="s">
        <v>80</v>
      </c>
      <c r="R6" s="4" t="s">
        <v>81</v>
      </c>
      <c r="S6" s="3" t="s">
        <v>82</v>
      </c>
      <c r="T6" s="4" t="s">
        <v>83</v>
      </c>
      <c r="U6" s="3" t="s">
        <v>57</v>
      </c>
      <c r="V6" s="4" t="s">
        <v>58</v>
      </c>
      <c r="W6" s="3" t="s">
        <v>46</v>
      </c>
      <c r="X6" s="4" t="s">
        <v>59</v>
      </c>
      <c r="Y6" s="3" t="s">
        <v>84</v>
      </c>
      <c r="Z6" s="4" t="s">
        <v>85</v>
      </c>
      <c r="AA6" s="3" t="s">
        <v>84</v>
      </c>
      <c r="AB6" s="4" t="s">
        <v>85</v>
      </c>
      <c r="AC6" s="3" t="s">
        <v>57</v>
      </c>
      <c r="AD6" s="4" t="s">
        <v>62</v>
      </c>
      <c r="AE6" s="3" t="s">
        <v>86</v>
      </c>
      <c r="AF6" s="4" t="s">
        <v>87</v>
      </c>
      <c r="AG6" s="3" t="s">
        <v>57</v>
      </c>
      <c r="AH6" s="4" t="s">
        <v>88</v>
      </c>
      <c r="AI6" s="3" t="s">
        <v>57</v>
      </c>
      <c r="AJ6" s="4" t="s">
        <v>67</v>
      </c>
    </row>
    <row r="7" spans="1:36" x14ac:dyDescent="0.3">
      <c r="A7" s="2" t="s">
        <v>89</v>
      </c>
      <c r="B7" s="2" t="s">
        <v>69</v>
      </c>
      <c r="C7" s="3" t="s">
        <v>90</v>
      </c>
      <c r="D7" s="4" t="s">
        <v>91</v>
      </c>
      <c r="E7" s="3" t="s">
        <v>92</v>
      </c>
      <c r="F7" s="4" t="s">
        <v>93</v>
      </c>
      <c r="G7" s="3" t="s">
        <v>44</v>
      </c>
      <c r="H7" s="4" t="s">
        <v>94</v>
      </c>
      <c r="I7" s="3" t="s">
        <v>46</v>
      </c>
      <c r="J7" s="4" t="s">
        <v>47</v>
      </c>
      <c r="K7" s="3" t="s">
        <v>46</v>
      </c>
      <c r="L7" s="4" t="s">
        <v>48</v>
      </c>
      <c r="M7" s="3" t="s">
        <v>95</v>
      </c>
      <c r="N7" s="4" t="s">
        <v>96</v>
      </c>
      <c r="O7" s="3" t="s">
        <v>51</v>
      </c>
      <c r="P7" s="4" t="s">
        <v>97</v>
      </c>
      <c r="Q7" s="3" t="s">
        <v>98</v>
      </c>
      <c r="R7" s="4" t="s">
        <v>99</v>
      </c>
      <c r="S7" s="3" t="s">
        <v>100</v>
      </c>
      <c r="T7" s="4" t="s">
        <v>101</v>
      </c>
      <c r="U7" s="3" t="s">
        <v>57</v>
      </c>
      <c r="V7" s="4" t="s">
        <v>58</v>
      </c>
      <c r="W7" s="3" t="s">
        <v>46</v>
      </c>
      <c r="X7" s="4" t="s">
        <v>59</v>
      </c>
      <c r="Y7" s="3" t="s">
        <v>102</v>
      </c>
      <c r="Z7" s="4" t="s">
        <v>103</v>
      </c>
      <c r="AA7" s="3" t="s">
        <v>102</v>
      </c>
      <c r="AB7" s="4" t="s">
        <v>103</v>
      </c>
      <c r="AC7" s="3" t="s">
        <v>57</v>
      </c>
      <c r="AD7" s="4" t="s">
        <v>62</v>
      </c>
      <c r="AE7" s="3" t="s">
        <v>104</v>
      </c>
      <c r="AF7" s="4" t="s">
        <v>105</v>
      </c>
      <c r="AG7" s="3" t="s">
        <v>106</v>
      </c>
      <c r="AH7" s="4" t="s">
        <v>107</v>
      </c>
      <c r="AI7" s="3" t="s">
        <v>57</v>
      </c>
      <c r="AJ7" s="4" t="s">
        <v>67</v>
      </c>
    </row>
    <row r="8" spans="1:36" x14ac:dyDescent="0.3">
      <c r="A8" s="2" t="s">
        <v>108</v>
      </c>
      <c r="B8" s="2" t="s">
        <v>109</v>
      </c>
      <c r="C8" s="3" t="s">
        <v>110</v>
      </c>
      <c r="D8" s="4" t="s">
        <v>111</v>
      </c>
      <c r="E8" s="3" t="s">
        <v>112</v>
      </c>
      <c r="F8" s="4" t="s">
        <v>113</v>
      </c>
      <c r="G8" s="3" t="s">
        <v>114</v>
      </c>
      <c r="H8" s="4" t="s">
        <v>115</v>
      </c>
      <c r="I8" s="3" t="s">
        <v>46</v>
      </c>
      <c r="J8" s="4" t="s">
        <v>47</v>
      </c>
      <c r="K8" s="3" t="s">
        <v>46</v>
      </c>
      <c r="L8" s="4" t="s">
        <v>48</v>
      </c>
      <c r="M8" s="3" t="s">
        <v>116</v>
      </c>
      <c r="N8" s="4" t="s">
        <v>117</v>
      </c>
      <c r="O8" s="3" t="s">
        <v>118</v>
      </c>
      <c r="P8" s="4" t="s">
        <v>119</v>
      </c>
      <c r="Q8" s="3" t="s">
        <v>120</v>
      </c>
      <c r="R8" s="4" t="s">
        <v>121</v>
      </c>
      <c r="S8" s="3" t="s">
        <v>122</v>
      </c>
      <c r="T8" s="4" t="s">
        <v>123</v>
      </c>
      <c r="U8" s="3" t="s">
        <v>57</v>
      </c>
      <c r="V8" s="4" t="s">
        <v>58</v>
      </c>
      <c r="W8" s="3" t="s">
        <v>46</v>
      </c>
      <c r="X8" s="4" t="s">
        <v>59</v>
      </c>
      <c r="Y8" s="3" t="s">
        <v>124</v>
      </c>
      <c r="Z8" s="4" t="s">
        <v>125</v>
      </c>
      <c r="AA8" s="3" t="s">
        <v>124</v>
      </c>
      <c r="AB8" s="4" t="s">
        <v>125</v>
      </c>
      <c r="AC8" s="3" t="s">
        <v>57</v>
      </c>
      <c r="AD8" s="4" t="s">
        <v>62</v>
      </c>
      <c r="AE8" s="3" t="s">
        <v>104</v>
      </c>
      <c r="AF8" s="4" t="s">
        <v>105</v>
      </c>
      <c r="AG8" s="3" t="s">
        <v>106</v>
      </c>
      <c r="AH8" s="4" t="s">
        <v>107</v>
      </c>
      <c r="AI8" s="3" t="s">
        <v>57</v>
      </c>
      <c r="AJ8" s="4" t="s">
        <v>67</v>
      </c>
    </row>
    <row r="9" spans="1:36" x14ac:dyDescent="0.3">
      <c r="A9" s="2" t="s">
        <v>126</v>
      </c>
      <c r="B9" s="2" t="s">
        <v>109</v>
      </c>
      <c r="C9" s="3" t="s">
        <v>127</v>
      </c>
      <c r="D9" s="4" t="s">
        <v>128</v>
      </c>
      <c r="E9" s="3" t="s">
        <v>129</v>
      </c>
      <c r="F9" s="4" t="s">
        <v>130</v>
      </c>
      <c r="G9" s="3" t="s">
        <v>131</v>
      </c>
      <c r="H9" s="4" t="s">
        <v>132</v>
      </c>
      <c r="I9" s="3" t="s">
        <v>46</v>
      </c>
      <c r="J9" s="4" t="s">
        <v>47</v>
      </c>
      <c r="K9" s="3" t="s">
        <v>46</v>
      </c>
      <c r="L9" s="4" t="s">
        <v>48</v>
      </c>
      <c r="M9" s="3" t="s">
        <v>133</v>
      </c>
      <c r="N9" s="4" t="s">
        <v>134</v>
      </c>
      <c r="O9" s="3" t="s">
        <v>135</v>
      </c>
      <c r="P9" s="4" t="s">
        <v>136</v>
      </c>
      <c r="Q9" s="3" t="s">
        <v>137</v>
      </c>
      <c r="R9" s="4" t="s">
        <v>138</v>
      </c>
      <c r="S9" s="3" t="s">
        <v>139</v>
      </c>
      <c r="T9" s="4" t="s">
        <v>140</v>
      </c>
      <c r="U9" s="3" t="s">
        <v>57</v>
      </c>
      <c r="V9" s="4" t="s">
        <v>58</v>
      </c>
      <c r="W9" s="3" t="s">
        <v>46</v>
      </c>
      <c r="X9" s="4" t="s">
        <v>59</v>
      </c>
      <c r="Y9" s="3" t="s">
        <v>141</v>
      </c>
      <c r="Z9" s="4" t="s">
        <v>142</v>
      </c>
      <c r="AA9" s="3" t="s">
        <v>141</v>
      </c>
      <c r="AB9" s="4" t="s">
        <v>142</v>
      </c>
      <c r="AC9" s="3" t="s">
        <v>57</v>
      </c>
      <c r="AD9" s="4" t="s">
        <v>62</v>
      </c>
      <c r="AE9" s="3" t="s">
        <v>143</v>
      </c>
      <c r="AF9" s="4" t="s">
        <v>144</v>
      </c>
      <c r="AG9" s="3" t="s">
        <v>145</v>
      </c>
      <c r="AH9" s="4" t="s">
        <v>146</v>
      </c>
      <c r="AI9" s="3" t="s">
        <v>57</v>
      </c>
      <c r="AJ9" s="4" t="s">
        <v>67</v>
      </c>
    </row>
    <row r="10" spans="1:36" x14ac:dyDescent="0.3">
      <c r="A10" s="2" t="s">
        <v>147</v>
      </c>
      <c r="B10" s="2" t="s">
        <v>148</v>
      </c>
      <c r="C10" s="3" t="s">
        <v>149</v>
      </c>
      <c r="D10" s="4" t="s">
        <v>150</v>
      </c>
      <c r="E10" s="3" t="s">
        <v>151</v>
      </c>
      <c r="F10" s="4" t="s">
        <v>152</v>
      </c>
      <c r="G10" s="3" t="s">
        <v>153</v>
      </c>
      <c r="H10" s="4" t="s">
        <v>154</v>
      </c>
      <c r="I10" s="3" t="s">
        <v>46</v>
      </c>
      <c r="J10" s="4" t="s">
        <v>47</v>
      </c>
      <c r="K10" s="3" t="s">
        <v>46</v>
      </c>
      <c r="L10" s="4" t="s">
        <v>48</v>
      </c>
      <c r="M10" s="3" t="s">
        <v>155</v>
      </c>
      <c r="N10" s="4" t="s">
        <v>156</v>
      </c>
      <c r="O10" s="3" t="s">
        <v>157</v>
      </c>
      <c r="P10" s="4" t="s">
        <v>158</v>
      </c>
      <c r="Q10" s="3" t="s">
        <v>159</v>
      </c>
      <c r="R10" s="4" t="s">
        <v>160</v>
      </c>
      <c r="S10" s="3" t="s">
        <v>161</v>
      </c>
      <c r="T10" s="4" t="s">
        <v>162</v>
      </c>
      <c r="U10" s="3" t="s">
        <v>57</v>
      </c>
      <c r="V10" s="4" t="s">
        <v>58</v>
      </c>
      <c r="W10" s="3" t="s">
        <v>46</v>
      </c>
      <c r="X10" s="4" t="s">
        <v>59</v>
      </c>
      <c r="Y10" s="3" t="s">
        <v>163</v>
      </c>
      <c r="Z10" s="4" t="s">
        <v>164</v>
      </c>
      <c r="AA10" s="3" t="s">
        <v>163</v>
      </c>
      <c r="AB10" s="4" t="s">
        <v>164</v>
      </c>
      <c r="AC10" s="3" t="s">
        <v>57</v>
      </c>
      <c r="AD10" s="4" t="s">
        <v>62</v>
      </c>
      <c r="AE10" s="3" t="s">
        <v>143</v>
      </c>
      <c r="AF10" s="4" t="s">
        <v>144</v>
      </c>
      <c r="AG10" s="3" t="s">
        <v>145</v>
      </c>
      <c r="AH10" s="4" t="s">
        <v>146</v>
      </c>
      <c r="AI10" s="3" t="s">
        <v>57</v>
      </c>
      <c r="AJ10" s="4" t="s">
        <v>67</v>
      </c>
    </row>
    <row r="11" spans="1:36" x14ac:dyDescent="0.3">
      <c r="A11" s="2" t="s">
        <v>165</v>
      </c>
      <c r="B11" s="2" t="s">
        <v>166</v>
      </c>
      <c r="C11" s="3" t="s">
        <v>167</v>
      </c>
      <c r="D11" s="4" t="s">
        <v>168</v>
      </c>
      <c r="E11" s="3" t="s">
        <v>169</v>
      </c>
      <c r="F11" s="4" t="s">
        <v>170</v>
      </c>
      <c r="G11" s="3" t="s">
        <v>171</v>
      </c>
      <c r="H11" s="4" t="s">
        <v>172</v>
      </c>
      <c r="I11" s="3" t="s">
        <v>46</v>
      </c>
      <c r="J11" s="4" t="s">
        <v>47</v>
      </c>
      <c r="K11" s="3" t="s">
        <v>46</v>
      </c>
      <c r="L11" s="4" t="s">
        <v>48</v>
      </c>
      <c r="M11" s="3" t="s">
        <v>173</v>
      </c>
      <c r="N11" s="4" t="s">
        <v>174</v>
      </c>
      <c r="O11" s="3" t="s">
        <v>175</v>
      </c>
      <c r="P11" s="4" t="s">
        <v>176</v>
      </c>
      <c r="Q11" s="3" t="s">
        <v>177</v>
      </c>
      <c r="R11" s="4" t="s">
        <v>178</v>
      </c>
      <c r="S11" s="3" t="s">
        <v>179</v>
      </c>
      <c r="T11" s="4" t="s">
        <v>180</v>
      </c>
      <c r="U11" s="3" t="s">
        <v>57</v>
      </c>
      <c r="V11" s="4" t="s">
        <v>58</v>
      </c>
      <c r="W11" s="3" t="s">
        <v>46</v>
      </c>
      <c r="X11" s="4" t="s">
        <v>59</v>
      </c>
      <c r="Y11" s="3" t="s">
        <v>181</v>
      </c>
      <c r="Z11" s="4" t="s">
        <v>182</v>
      </c>
      <c r="AA11" s="3" t="s">
        <v>181</v>
      </c>
      <c r="AB11" s="4" t="s">
        <v>182</v>
      </c>
      <c r="AC11" s="3" t="s">
        <v>57</v>
      </c>
      <c r="AD11" s="4" t="s">
        <v>62</v>
      </c>
      <c r="AE11" s="3" t="s">
        <v>183</v>
      </c>
      <c r="AF11" s="4" t="s">
        <v>184</v>
      </c>
      <c r="AG11" s="3" t="s">
        <v>145</v>
      </c>
      <c r="AH11" s="4" t="s">
        <v>146</v>
      </c>
      <c r="AI11" s="3" t="s">
        <v>57</v>
      </c>
      <c r="AJ11" s="4" t="s">
        <v>67</v>
      </c>
    </row>
    <row r="12" spans="1:36" x14ac:dyDescent="0.3">
      <c r="A12" s="2" t="s">
        <v>185</v>
      </c>
      <c r="B12" s="2" t="s">
        <v>186</v>
      </c>
      <c r="C12" s="3" t="s">
        <v>187</v>
      </c>
      <c r="D12" s="4" t="s">
        <v>188</v>
      </c>
      <c r="E12" s="3" t="s">
        <v>149</v>
      </c>
      <c r="F12" s="4" t="s">
        <v>189</v>
      </c>
      <c r="G12" s="3" t="s">
        <v>190</v>
      </c>
      <c r="H12" s="4" t="s">
        <v>191</v>
      </c>
      <c r="I12" s="3" t="s">
        <v>46</v>
      </c>
      <c r="J12" s="4" t="s">
        <v>47</v>
      </c>
      <c r="K12" s="3" t="s">
        <v>46</v>
      </c>
      <c r="L12" s="4" t="s">
        <v>48</v>
      </c>
      <c r="M12" s="3" t="s">
        <v>192</v>
      </c>
      <c r="N12" s="4" t="s">
        <v>193</v>
      </c>
      <c r="O12" s="3" t="s">
        <v>194</v>
      </c>
      <c r="P12" s="4" t="s">
        <v>195</v>
      </c>
      <c r="Q12" s="3" t="s">
        <v>196</v>
      </c>
      <c r="R12" s="4" t="s">
        <v>197</v>
      </c>
      <c r="S12" s="3" t="s">
        <v>198</v>
      </c>
      <c r="T12" s="4" t="s">
        <v>199</v>
      </c>
      <c r="U12" s="3" t="s">
        <v>57</v>
      </c>
      <c r="V12" s="4" t="s">
        <v>58</v>
      </c>
      <c r="W12" s="3" t="s">
        <v>46</v>
      </c>
      <c r="X12" s="4" t="s">
        <v>59</v>
      </c>
      <c r="Y12" s="3" t="s">
        <v>200</v>
      </c>
      <c r="Z12" s="4" t="s">
        <v>201</v>
      </c>
      <c r="AA12" s="3" t="s">
        <v>200</v>
      </c>
      <c r="AB12" s="4" t="s">
        <v>201</v>
      </c>
      <c r="AC12" s="3" t="s">
        <v>57</v>
      </c>
      <c r="AD12" s="4" t="s">
        <v>62</v>
      </c>
      <c r="AE12" s="3" t="s">
        <v>183</v>
      </c>
      <c r="AF12" s="4" t="s">
        <v>184</v>
      </c>
      <c r="AG12" s="3" t="s">
        <v>145</v>
      </c>
      <c r="AH12" s="4" t="s">
        <v>146</v>
      </c>
      <c r="AI12" s="3" t="s">
        <v>57</v>
      </c>
      <c r="AJ12" s="4" t="s">
        <v>67</v>
      </c>
    </row>
    <row r="13" spans="1:36" x14ac:dyDescent="0.3">
      <c r="A13" s="2" t="s">
        <v>202</v>
      </c>
      <c r="B13" s="2" t="s">
        <v>203</v>
      </c>
      <c r="C13" s="3" t="s">
        <v>204</v>
      </c>
      <c r="D13" s="4" t="s">
        <v>205</v>
      </c>
      <c r="E13" s="3" t="s">
        <v>206</v>
      </c>
      <c r="F13" s="4" t="s">
        <v>207</v>
      </c>
      <c r="G13" s="3" t="s">
        <v>208</v>
      </c>
      <c r="H13" s="4" t="s">
        <v>209</v>
      </c>
      <c r="I13" s="3" t="s">
        <v>46</v>
      </c>
      <c r="J13" s="4" t="s">
        <v>47</v>
      </c>
      <c r="K13" s="3" t="s">
        <v>46</v>
      </c>
      <c r="L13" s="4" t="s">
        <v>48</v>
      </c>
      <c r="M13" s="3" t="s">
        <v>192</v>
      </c>
      <c r="N13" s="4" t="s">
        <v>210</v>
      </c>
      <c r="O13" s="3" t="s">
        <v>211</v>
      </c>
      <c r="P13" s="4" t="s">
        <v>212</v>
      </c>
      <c r="Q13" s="3" t="s">
        <v>213</v>
      </c>
      <c r="R13" s="4" t="s">
        <v>214</v>
      </c>
      <c r="S13" s="3" t="s">
        <v>215</v>
      </c>
      <c r="T13" s="4" t="s">
        <v>216</v>
      </c>
      <c r="U13" s="3" t="s">
        <v>57</v>
      </c>
      <c r="V13" s="4" t="s">
        <v>58</v>
      </c>
      <c r="W13" s="3" t="s">
        <v>46</v>
      </c>
      <c r="X13" s="4" t="s">
        <v>59</v>
      </c>
      <c r="Y13" s="3" t="s">
        <v>217</v>
      </c>
      <c r="Z13" s="4" t="s">
        <v>218</v>
      </c>
      <c r="AA13" s="3" t="s">
        <v>217</v>
      </c>
      <c r="AB13" s="4" t="s">
        <v>218</v>
      </c>
      <c r="AC13" s="3" t="s">
        <v>57</v>
      </c>
      <c r="AD13" s="4" t="s">
        <v>62</v>
      </c>
      <c r="AE13" s="3" t="s">
        <v>219</v>
      </c>
      <c r="AF13" s="4" t="s">
        <v>220</v>
      </c>
      <c r="AG13" s="3" t="s">
        <v>221</v>
      </c>
      <c r="AH13" s="4" t="s">
        <v>222</v>
      </c>
      <c r="AI13" s="3" t="s">
        <v>57</v>
      </c>
      <c r="AJ13" s="4" t="s">
        <v>67</v>
      </c>
    </row>
    <row r="14" spans="1:36" x14ac:dyDescent="0.3">
      <c r="A14" s="2" t="s">
        <v>223</v>
      </c>
      <c r="B14" s="2" t="s">
        <v>224</v>
      </c>
      <c r="C14" s="3" t="s">
        <v>225</v>
      </c>
      <c r="D14" s="4" t="s">
        <v>226</v>
      </c>
      <c r="E14" s="3" t="s">
        <v>227</v>
      </c>
      <c r="F14" s="4" t="s">
        <v>228</v>
      </c>
      <c r="G14" s="3" t="s">
        <v>148</v>
      </c>
      <c r="H14" s="4" t="s">
        <v>229</v>
      </c>
      <c r="I14" s="3" t="s">
        <v>46</v>
      </c>
      <c r="J14" s="4" t="s">
        <v>47</v>
      </c>
      <c r="K14" s="3" t="s">
        <v>46</v>
      </c>
      <c r="L14" s="4" t="s">
        <v>48</v>
      </c>
      <c r="M14" s="3" t="s">
        <v>192</v>
      </c>
      <c r="N14" s="4" t="s">
        <v>230</v>
      </c>
      <c r="O14" s="3" t="s">
        <v>231</v>
      </c>
      <c r="P14" s="4" t="s">
        <v>232</v>
      </c>
      <c r="Q14" s="3" t="s">
        <v>233</v>
      </c>
      <c r="R14" s="4" t="s">
        <v>234</v>
      </c>
      <c r="S14" s="3" t="s">
        <v>235</v>
      </c>
      <c r="T14" s="4" t="s">
        <v>236</v>
      </c>
      <c r="U14" s="3" t="s">
        <v>57</v>
      </c>
      <c r="V14" s="4" t="s">
        <v>58</v>
      </c>
      <c r="W14" s="3" t="s">
        <v>46</v>
      </c>
      <c r="X14" s="4" t="s">
        <v>59</v>
      </c>
      <c r="Y14" s="3" t="s">
        <v>237</v>
      </c>
      <c r="Z14" s="4" t="s">
        <v>238</v>
      </c>
      <c r="AA14" s="3" t="s">
        <v>237</v>
      </c>
      <c r="AB14" s="4" t="s">
        <v>238</v>
      </c>
      <c r="AC14" s="3" t="s">
        <v>57</v>
      </c>
      <c r="AD14" s="4" t="s">
        <v>62</v>
      </c>
      <c r="AE14" s="3" t="s">
        <v>219</v>
      </c>
      <c r="AF14" s="4" t="s">
        <v>220</v>
      </c>
      <c r="AG14" s="3" t="s">
        <v>221</v>
      </c>
      <c r="AH14" s="4" t="s">
        <v>222</v>
      </c>
      <c r="AI14" s="3" t="s">
        <v>57</v>
      </c>
      <c r="AJ14" s="4" t="s">
        <v>67</v>
      </c>
    </row>
    <row r="15" spans="1:36" x14ac:dyDescent="0.3">
      <c r="A15" s="2" t="s">
        <v>239</v>
      </c>
      <c r="B15" s="2" t="s">
        <v>240</v>
      </c>
      <c r="C15" s="3" t="s">
        <v>241</v>
      </c>
      <c r="D15" s="4" t="s">
        <v>242</v>
      </c>
      <c r="E15" s="3" t="s">
        <v>243</v>
      </c>
      <c r="F15" s="4" t="s">
        <v>244</v>
      </c>
      <c r="G15" s="3" t="s">
        <v>245</v>
      </c>
      <c r="H15" s="4" t="s">
        <v>246</v>
      </c>
      <c r="I15" s="3" t="s">
        <v>46</v>
      </c>
      <c r="J15" s="4" t="s">
        <v>47</v>
      </c>
      <c r="K15" s="3" t="s">
        <v>46</v>
      </c>
      <c r="L15" s="4" t="s">
        <v>48</v>
      </c>
      <c r="M15" s="3" t="s">
        <v>192</v>
      </c>
      <c r="N15" s="4" t="s">
        <v>230</v>
      </c>
      <c r="O15" s="3" t="s">
        <v>247</v>
      </c>
      <c r="P15" s="4" t="s">
        <v>248</v>
      </c>
      <c r="Q15" s="3" t="s">
        <v>249</v>
      </c>
      <c r="R15" s="4" t="s">
        <v>250</v>
      </c>
      <c r="S15" s="3" t="s">
        <v>251</v>
      </c>
      <c r="T15" s="4" t="s">
        <v>252</v>
      </c>
      <c r="U15" s="3" t="s">
        <v>57</v>
      </c>
      <c r="V15" s="4" t="s">
        <v>58</v>
      </c>
      <c r="W15" s="3" t="s">
        <v>46</v>
      </c>
      <c r="X15" s="4" t="s">
        <v>59</v>
      </c>
      <c r="Y15" s="3" t="s">
        <v>253</v>
      </c>
      <c r="Z15" s="4" t="s">
        <v>254</v>
      </c>
      <c r="AA15" s="3" t="s">
        <v>253</v>
      </c>
      <c r="AB15" s="4" t="s">
        <v>254</v>
      </c>
      <c r="AC15" s="3" t="s">
        <v>57</v>
      </c>
      <c r="AD15" s="4" t="s">
        <v>62</v>
      </c>
      <c r="AE15" s="3" t="s">
        <v>255</v>
      </c>
      <c r="AF15" s="4" t="s">
        <v>256</v>
      </c>
      <c r="AG15" s="3" t="s">
        <v>257</v>
      </c>
      <c r="AH15" s="4" t="s">
        <v>258</v>
      </c>
      <c r="AI15" s="3" t="s">
        <v>57</v>
      </c>
      <c r="AJ15" s="4" t="s">
        <v>67</v>
      </c>
    </row>
    <row r="16" spans="1:36" x14ac:dyDescent="0.3">
      <c r="A16" s="2" t="s">
        <v>259</v>
      </c>
      <c r="B16" s="2" t="s">
        <v>240</v>
      </c>
      <c r="C16" s="3" t="s">
        <v>260</v>
      </c>
      <c r="D16" s="4" t="s">
        <v>261</v>
      </c>
      <c r="E16" s="3" t="s">
        <v>262</v>
      </c>
      <c r="F16" s="4" t="s">
        <v>263</v>
      </c>
      <c r="G16" s="3" t="s">
        <v>264</v>
      </c>
      <c r="H16" s="4" t="s">
        <v>265</v>
      </c>
      <c r="I16" s="3" t="s">
        <v>46</v>
      </c>
      <c r="J16" s="4" t="s">
        <v>47</v>
      </c>
      <c r="K16" s="3" t="s">
        <v>46</v>
      </c>
      <c r="L16" s="4" t="s">
        <v>48</v>
      </c>
      <c r="M16" s="3" t="s">
        <v>192</v>
      </c>
      <c r="N16" s="4" t="s">
        <v>230</v>
      </c>
      <c r="O16" s="3" t="s">
        <v>266</v>
      </c>
      <c r="P16" s="4" t="s">
        <v>267</v>
      </c>
      <c r="Q16" s="3" t="s">
        <v>249</v>
      </c>
      <c r="R16" s="4" t="s">
        <v>250</v>
      </c>
      <c r="S16" s="3" t="s">
        <v>268</v>
      </c>
      <c r="T16" s="4" t="s">
        <v>269</v>
      </c>
      <c r="U16" s="3" t="s">
        <v>57</v>
      </c>
      <c r="V16" s="4" t="s">
        <v>58</v>
      </c>
      <c r="W16" s="3" t="s">
        <v>46</v>
      </c>
      <c r="X16" s="4" t="s">
        <v>59</v>
      </c>
      <c r="Y16" s="3" t="s">
        <v>270</v>
      </c>
      <c r="Z16" s="4" t="s">
        <v>271</v>
      </c>
      <c r="AA16" s="3" t="s">
        <v>270</v>
      </c>
      <c r="AB16" s="4" t="s">
        <v>271</v>
      </c>
      <c r="AC16" s="3" t="s">
        <v>57</v>
      </c>
      <c r="AD16" s="4" t="s">
        <v>62</v>
      </c>
      <c r="AE16" s="3" t="s">
        <v>255</v>
      </c>
      <c r="AF16" s="4" t="s">
        <v>256</v>
      </c>
      <c r="AG16" s="3" t="s">
        <v>257</v>
      </c>
      <c r="AH16" s="4" t="s">
        <v>258</v>
      </c>
      <c r="AI16" s="3" t="s">
        <v>57</v>
      </c>
      <c r="AJ16" s="4" t="s">
        <v>67</v>
      </c>
    </row>
    <row r="17" spans="1:36" x14ac:dyDescent="0.3">
      <c r="A17" s="2" t="s">
        <v>272</v>
      </c>
      <c r="B17" s="2" t="s">
        <v>273</v>
      </c>
      <c r="C17" s="3" t="s">
        <v>274</v>
      </c>
      <c r="D17" s="4" t="s">
        <v>275</v>
      </c>
      <c r="E17" s="3" t="s">
        <v>276</v>
      </c>
      <c r="F17" s="4" t="s">
        <v>277</v>
      </c>
      <c r="G17" s="3" t="s">
        <v>278</v>
      </c>
      <c r="H17" s="4" t="s">
        <v>279</v>
      </c>
      <c r="I17" s="3" t="s">
        <v>46</v>
      </c>
      <c r="J17" s="4" t="s">
        <v>47</v>
      </c>
      <c r="K17" s="3" t="s">
        <v>46</v>
      </c>
      <c r="L17" s="4" t="s">
        <v>48</v>
      </c>
      <c r="M17" s="3" t="s">
        <v>192</v>
      </c>
      <c r="N17" s="4" t="s">
        <v>230</v>
      </c>
      <c r="O17" s="3" t="s">
        <v>280</v>
      </c>
      <c r="P17" s="4" t="s">
        <v>281</v>
      </c>
      <c r="Q17" s="3" t="s">
        <v>282</v>
      </c>
      <c r="R17" s="4" t="s">
        <v>283</v>
      </c>
      <c r="S17" s="3" t="s">
        <v>284</v>
      </c>
      <c r="T17" s="4" t="s">
        <v>285</v>
      </c>
      <c r="U17" s="3" t="s">
        <v>57</v>
      </c>
      <c r="V17" s="4" t="s">
        <v>58</v>
      </c>
      <c r="W17" s="3" t="s">
        <v>46</v>
      </c>
      <c r="X17" s="4" t="s">
        <v>59</v>
      </c>
      <c r="Y17" s="3" t="s">
        <v>286</v>
      </c>
      <c r="Z17" s="4" t="s">
        <v>287</v>
      </c>
      <c r="AA17" s="3" t="s">
        <v>286</v>
      </c>
      <c r="AB17" s="4" t="s">
        <v>287</v>
      </c>
      <c r="AC17" s="3" t="s">
        <v>57</v>
      </c>
      <c r="AD17" s="4" t="s">
        <v>62</v>
      </c>
      <c r="AE17" s="3" t="s">
        <v>255</v>
      </c>
      <c r="AF17" s="4" t="s">
        <v>256</v>
      </c>
      <c r="AG17" s="3" t="s">
        <v>257</v>
      </c>
      <c r="AH17" s="4" t="s">
        <v>258</v>
      </c>
      <c r="AI17" s="3" t="s">
        <v>57</v>
      </c>
      <c r="AJ17" s="4" t="s">
        <v>67</v>
      </c>
    </row>
    <row r="20" spans="1:36" ht="15.6" x14ac:dyDescent="0.3">
      <c r="A20" s="10" t="s">
        <v>288</v>
      </c>
      <c r="B20" s="6"/>
      <c r="C20" s="6"/>
      <c r="D20" s="6"/>
      <c r="E20" s="6"/>
      <c r="F20" s="6"/>
    </row>
    <row r="21" spans="1:36" ht="45" customHeight="1" x14ac:dyDescent="0.3">
      <c r="A21" s="8" t="s">
        <v>289</v>
      </c>
      <c r="B21" s="6"/>
      <c r="C21" s="6"/>
      <c r="D21" s="6"/>
      <c r="E21" s="6"/>
      <c r="F21" s="6"/>
    </row>
    <row r="22" spans="1:36" ht="45" customHeight="1" x14ac:dyDescent="0.3">
      <c r="A22" s="8" t="s">
        <v>290</v>
      </c>
      <c r="B22" s="6"/>
      <c r="C22" s="6"/>
      <c r="D22" s="6"/>
      <c r="E22" s="6"/>
      <c r="F22" s="6"/>
    </row>
    <row r="23" spans="1:36" ht="45" customHeight="1" x14ac:dyDescent="0.3">
      <c r="A23" s="8" t="s">
        <v>291</v>
      </c>
      <c r="B23" s="6"/>
      <c r="C23" s="6"/>
      <c r="D23" s="6"/>
      <c r="E23" s="6"/>
      <c r="F23" s="6"/>
    </row>
    <row r="24" spans="1:36" ht="45" customHeight="1" x14ac:dyDescent="0.3">
      <c r="A24" s="8" t="s">
        <v>292</v>
      </c>
      <c r="B24" s="6"/>
      <c r="C24" s="6"/>
      <c r="D24" s="6"/>
      <c r="E24" s="6"/>
      <c r="F24" s="6"/>
    </row>
    <row r="25" spans="1:36" ht="45" customHeight="1" x14ac:dyDescent="0.3">
      <c r="A25" s="8" t="s">
        <v>293</v>
      </c>
      <c r="B25" s="6"/>
      <c r="C25" s="6"/>
      <c r="D25" s="6"/>
      <c r="E25" s="6"/>
      <c r="F25" s="6"/>
    </row>
    <row r="26" spans="1:36" ht="45" customHeight="1" x14ac:dyDescent="0.3">
      <c r="A26" s="8" t="s">
        <v>294</v>
      </c>
      <c r="B26" s="6"/>
      <c r="C26" s="6"/>
      <c r="D26" s="6"/>
      <c r="E26" s="6"/>
      <c r="F26" s="6"/>
    </row>
    <row r="29" spans="1:36" ht="15.6" x14ac:dyDescent="0.3">
      <c r="A29" s="10" t="s">
        <v>295</v>
      </c>
      <c r="B29" s="6"/>
      <c r="C29" s="6"/>
      <c r="D29" s="6"/>
      <c r="E29" s="6"/>
      <c r="F29" s="6"/>
    </row>
    <row r="30" spans="1:36" x14ac:dyDescent="0.3">
      <c r="A30" s="5" t="s">
        <v>296</v>
      </c>
      <c r="B30" s="6"/>
      <c r="C30" s="6"/>
      <c r="D30" s="6"/>
      <c r="E30" s="6"/>
      <c r="F30" s="6"/>
    </row>
    <row r="31" spans="1:36" x14ac:dyDescent="0.3">
      <c r="A31" s="5" t="s">
        <v>297</v>
      </c>
      <c r="B31" s="6"/>
      <c r="C31" s="6"/>
      <c r="D31" s="6"/>
      <c r="E31" s="6"/>
      <c r="F31" s="6"/>
    </row>
    <row r="32" spans="1:36" x14ac:dyDescent="0.3">
      <c r="A32" s="5" t="s">
        <v>298</v>
      </c>
      <c r="B32" s="6"/>
      <c r="C32" s="6"/>
      <c r="D32" s="6"/>
      <c r="E32" s="6"/>
      <c r="F32" s="6"/>
    </row>
    <row r="33" spans="1:6" x14ac:dyDescent="0.3">
      <c r="A33" s="5" t="s">
        <v>299</v>
      </c>
      <c r="B33" s="6"/>
      <c r="C33" s="6"/>
      <c r="D33" s="6"/>
      <c r="E33" s="6"/>
      <c r="F33" s="6"/>
    </row>
    <row r="34" spans="1:6" x14ac:dyDescent="0.3">
      <c r="A34" s="5" t="s">
        <v>300</v>
      </c>
      <c r="B34" s="6"/>
      <c r="C34" s="6"/>
      <c r="D34" s="6"/>
      <c r="E34" s="6"/>
      <c r="F34" s="6"/>
    </row>
    <row r="35" spans="1:6" x14ac:dyDescent="0.3">
      <c r="A35" s="5" t="s">
        <v>301</v>
      </c>
      <c r="B35" s="6"/>
      <c r="C35" s="6"/>
      <c r="D35" s="6"/>
      <c r="E35" s="6"/>
      <c r="F35" s="6"/>
    </row>
    <row r="36" spans="1:6" x14ac:dyDescent="0.3">
      <c r="A36" s="5" t="s">
        <v>302</v>
      </c>
      <c r="B36" s="6"/>
      <c r="C36" s="6"/>
      <c r="D36" s="6"/>
      <c r="E36" s="6"/>
      <c r="F36" s="6"/>
    </row>
    <row r="37" spans="1:6" x14ac:dyDescent="0.3">
      <c r="A37" s="5" t="s">
        <v>303</v>
      </c>
      <c r="B37" s="6"/>
      <c r="C37" s="6"/>
      <c r="D37" s="6"/>
      <c r="E37" s="6"/>
      <c r="F37" s="6"/>
    </row>
    <row r="38" spans="1:6" x14ac:dyDescent="0.3">
      <c r="A38" s="5" t="s">
        <v>304</v>
      </c>
      <c r="B38" s="6"/>
      <c r="C38" s="6"/>
      <c r="D38" s="6"/>
      <c r="E38" s="6"/>
      <c r="F38" s="6"/>
    </row>
    <row r="39" spans="1:6" x14ac:dyDescent="0.3">
      <c r="A39" s="5" t="s">
        <v>305</v>
      </c>
      <c r="B39" s="6"/>
      <c r="C39" s="6"/>
      <c r="D39" s="6"/>
      <c r="E39" s="6"/>
      <c r="F39" s="6"/>
    </row>
    <row r="40" spans="1:6" x14ac:dyDescent="0.3">
      <c r="A40" s="5" t="s">
        <v>306</v>
      </c>
      <c r="B40" s="6"/>
      <c r="C40" s="6"/>
      <c r="D40" s="6"/>
      <c r="E40" s="6"/>
      <c r="F40" s="6"/>
    </row>
    <row r="41" spans="1:6" x14ac:dyDescent="0.3">
      <c r="A41" s="5" t="s">
        <v>307</v>
      </c>
      <c r="B41" s="6"/>
      <c r="C41" s="6"/>
      <c r="D41" s="6"/>
      <c r="E41" s="6"/>
      <c r="F41" s="6"/>
    </row>
    <row r="44" spans="1:6" x14ac:dyDescent="0.3">
      <c r="A44" s="11" t="s">
        <v>308</v>
      </c>
      <c r="B44" s="6"/>
      <c r="C44" s="6"/>
      <c r="D44" s="6"/>
      <c r="E44" s="6"/>
      <c r="F44" s="6"/>
    </row>
    <row r="45" spans="1:6" x14ac:dyDescent="0.3">
      <c r="A45" s="7" t="s">
        <v>309</v>
      </c>
      <c r="B45" s="6"/>
      <c r="C45" s="6"/>
      <c r="D45" s="6"/>
      <c r="E45" s="6"/>
      <c r="F45" s="6"/>
    </row>
    <row r="46" spans="1:6" x14ac:dyDescent="0.3">
      <c r="A46" s="7" t="s">
        <v>310</v>
      </c>
      <c r="B46" s="6"/>
      <c r="C46" s="6"/>
      <c r="D46" s="6"/>
      <c r="E46" s="6"/>
      <c r="F46" s="6"/>
    </row>
    <row r="47" spans="1:6" x14ac:dyDescent="0.3">
      <c r="A47" s="7" t="s">
        <v>311</v>
      </c>
      <c r="B47" s="6"/>
      <c r="C47" s="6"/>
      <c r="D47" s="6"/>
      <c r="E47" s="6"/>
      <c r="F47" s="6"/>
    </row>
    <row r="48" spans="1:6" x14ac:dyDescent="0.3">
      <c r="A48" s="7" t="s">
        <v>312</v>
      </c>
      <c r="B48" s="6"/>
      <c r="C48" s="6"/>
      <c r="D48" s="6"/>
      <c r="E48" s="6"/>
      <c r="F48" s="6"/>
    </row>
    <row r="49" spans="1:6" x14ac:dyDescent="0.3">
      <c r="A49" s="7" t="s">
        <v>313</v>
      </c>
      <c r="B49" s="6"/>
      <c r="C49" s="6"/>
      <c r="D49" s="6"/>
      <c r="E49" s="6"/>
      <c r="F49" s="6"/>
    </row>
    <row r="50" spans="1:6" x14ac:dyDescent="0.3">
      <c r="A50" s="7" t="s">
        <v>314</v>
      </c>
      <c r="B50" s="6"/>
      <c r="C50" s="6"/>
      <c r="D50" s="6"/>
      <c r="E50" s="6"/>
      <c r="F50" s="6"/>
    </row>
    <row r="51" spans="1:6" x14ac:dyDescent="0.3">
      <c r="A51" s="7" t="s">
        <v>315</v>
      </c>
      <c r="B51" s="6"/>
      <c r="C51" s="6"/>
      <c r="D51" s="6"/>
      <c r="E51" s="6"/>
      <c r="F51" s="6"/>
    </row>
    <row r="52" spans="1:6" x14ac:dyDescent="0.3">
      <c r="A52" s="7" t="s">
        <v>316</v>
      </c>
      <c r="B52" s="6"/>
      <c r="C52" s="6"/>
      <c r="D52" s="6"/>
      <c r="E52" s="6"/>
      <c r="F52" s="6"/>
    </row>
    <row r="58" spans="1:6" x14ac:dyDescent="0.3">
      <c r="C58">
        <v>84</v>
      </c>
      <c r="D58">
        <f>C58*1.5</f>
        <v>126</v>
      </c>
    </row>
  </sheetData>
  <mergeCells count="31">
    <mergeCell ref="A1:F1"/>
    <mergeCell ref="A45:F45"/>
    <mergeCell ref="A25:F25"/>
    <mergeCell ref="A52:F52"/>
    <mergeCell ref="A44:F44"/>
    <mergeCell ref="A31:F31"/>
    <mergeCell ref="A34:F34"/>
    <mergeCell ref="A40:F40"/>
    <mergeCell ref="A48:F48"/>
    <mergeCell ref="A39:F39"/>
    <mergeCell ref="A49:F49"/>
    <mergeCell ref="A51:F51"/>
    <mergeCell ref="A36:F36"/>
    <mergeCell ref="A21:F21"/>
    <mergeCell ref="A2:F2"/>
    <mergeCell ref="A33:F33"/>
    <mergeCell ref="A47:F47"/>
    <mergeCell ref="A23:F23"/>
    <mergeCell ref="A32:F32"/>
    <mergeCell ref="A22:F22"/>
    <mergeCell ref="A35:F35"/>
    <mergeCell ref="A20:F20"/>
    <mergeCell ref="A29:F29"/>
    <mergeCell ref="A38:F38"/>
    <mergeCell ref="A30:F30"/>
    <mergeCell ref="A24:F24"/>
    <mergeCell ref="A41:F41"/>
    <mergeCell ref="A46:F46"/>
    <mergeCell ref="A37:F37"/>
    <mergeCell ref="A50:F50"/>
    <mergeCell ref="A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GC3 Cheat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Zach Freitas</cp:lastModifiedBy>
  <dcterms:created xsi:type="dcterms:W3CDTF">2026-03-05T18:07:22Z</dcterms:created>
  <dcterms:modified xsi:type="dcterms:W3CDTF">2026-03-05T18:10:46Z</dcterms:modified>
</cp:coreProperties>
</file>